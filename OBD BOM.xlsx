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ssicamilner/Downloads/"/>
    </mc:Choice>
  </mc:AlternateContent>
  <xr:revisionPtr revIDLastSave="0" documentId="8_{3D51E70C-B877-F645-9CD2-F258180B928B}" xr6:coauthVersionLast="47" xr6:coauthVersionMax="47" xr10:uidLastSave="{00000000-0000-0000-0000-000000000000}"/>
  <bookViews>
    <workbookView xWindow="0" yWindow="680" windowWidth="34200" windowHeight="20220" xr2:uid="{00000000-000D-0000-FFFF-FFFF00000000}"/>
  </bookViews>
  <sheets>
    <sheet name="BOM" sheetId="6" r:id="rId1"/>
  </sheets>
  <definedNames>
    <definedName name="_xlnm._FilterDatabase" localSheetId="0" hidden="1">BOM!$A$1:$G$36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<sst xmlns="http://schemas.openxmlformats.org/spreadsheetml/2006/main" count="108" uniqueCount="73">
  <si>
    <t>Notes</t>
  </si>
  <si>
    <t>Status</t>
  </si>
  <si>
    <t>Item name</t>
  </si>
  <si>
    <t>Quantity</t>
  </si>
  <si>
    <t>Price</t>
  </si>
  <si>
    <t>Supplier</t>
  </si>
  <si>
    <t>Part Number</t>
  </si>
  <si>
    <t>Total Cost</t>
  </si>
  <si>
    <t>Raspberry Pi Pico 2</t>
  </si>
  <si>
    <t>Own</t>
  </si>
  <si>
    <t>Digikey</t>
  </si>
  <si>
    <t>SC1632</t>
  </si>
  <si>
    <t>https://www.digikey.com/en/products/detail/raspberry-pi/SC1632/26241102</t>
  </si>
  <si>
    <t>MCP2515-I/P CAN Controller</t>
  </si>
  <si>
    <t>need to order</t>
  </si>
  <si>
    <t>MCP2515-I/P-ND</t>
  </si>
  <si>
    <t>https://www.digikey.com/en/products/detail/microchip-technology/MCP2515-I-P/593000?s=N4IgTCBcDaILIGEAKYCsBGVBaAkgeiSwDkAREAXQF8g</t>
  </si>
  <si>
    <t>MCP2562-E/P CAN Transciever</t>
  </si>
  <si>
    <t>MCP2562-E/P-ND</t>
  </si>
  <si>
    <t>https://www.digikey.com/en/products/detail/microchip-technology/MCP2562-E-P/4079966?s=N4IgTCBcDaILIGEAKYCsA2MBaAogeiSwDkAREAXQF8g</t>
  </si>
  <si>
    <t>16MHz Crystal Oscillator</t>
  </si>
  <si>
    <t>3155-16M20P2/49US-ND</t>
  </si>
  <si>
    <t>https://www.digikey.com/en/products/detail/yic/16M20P2-49US/15648595?s=N4IgTCBcDaIMwEYCsSC0CBsBZMAGACmAPQAsAnAKoDKqAcgCIgC6AvkA</t>
  </si>
  <si>
    <t>22pF Capacitor</t>
  </si>
  <si>
    <t>445-174269-1-ND</t>
  </si>
  <si>
    <t>https://www.digikey.com/en/products/detail/tdk/FA28C0G1H220JNU00/7384514</t>
  </si>
  <si>
    <t>0.1µF Capacitor</t>
  </si>
  <si>
    <t>445-174245-1-ND</t>
  </si>
  <si>
    <t>https://www.digikey.com/en/products/detail/tdk/FA18X7R1H104KNU00/7384204</t>
  </si>
  <si>
    <t>100µF Capacitor</t>
  </si>
  <si>
    <t>399-15742-ND</t>
  </si>
  <si>
    <t>https://www.digikey.com/en/products/detail/kemet/ESL107M050AGMAA/7427057</t>
  </si>
  <si>
    <t>10k Ohm Resistor</t>
  </si>
  <si>
    <t>13-CFR-25JB-52-10K-ND</t>
  </si>
  <si>
    <r>
      <rPr>
        <u/>
        <sz val="10"/>
        <color rgb="FF434343"/>
        <rFont val="Arial"/>
        <family val="2"/>
      </rPr>
      <t>https://www.digikey.com/en/products/detail/yageo/CFR-25JB-52-10K/338?s=N4IgjCBcoEwAwA4CsVQGMoDMCGAbAzgKYA0IA9lANrhwAEA1gPIAWAtviALqkAOALlBABVAHYBLPo0wBZQtnwBXAE6EQAXzWkYVGgGkAigCFdAWgByAES5qgA</t>
    </r>
    <r>
      <rPr>
        <sz val="10"/>
        <color rgb="FF434343"/>
        <rFont val="Arial"/>
        <family val="2"/>
      </rPr>
      <t xml:space="preserve"> </t>
    </r>
  </si>
  <si>
    <t>DC DC CONVERTER 5V Buck Regulator</t>
  </si>
  <si>
    <t>811-2196-5-ND</t>
  </si>
  <si>
    <t>https://www.digikey.com/en/products/detail/murata-power-solutions-inc/OKI-78SR-5-1-5-W36-C/2259781?s=N4IgTCBcDaILIFcBOBDALigBAeQNIEkBaAdgA4BlAJUIFYB6ARgDobCB1AZgDZCBhEALoBfIA</t>
  </si>
  <si>
    <t>1N4007 Rectifier Diode</t>
  </si>
  <si>
    <t>5245-1N4007CT-ND</t>
  </si>
  <si>
    <t>https://www.digikey.com/en/products/detail/dcomponents/1N4007/27607983?utm_source=chatgpt.com</t>
  </si>
  <si>
    <t>1.5KE20A TVS Diode</t>
  </si>
  <si>
    <t>4878-1.5KE20ACT-ND</t>
  </si>
  <si>
    <t>https://www.digikey.com/en/products/detail/diotec-semiconductor/1-5KE20A/22193463?s=N4IgTCBcDaICwA4DsCC0BGAdAVgNIFEwAGAQQGEAVVAOQBEQBdAXyA</t>
  </si>
  <si>
    <t>PTC Resettable FUSE 60V 500MA</t>
  </si>
  <si>
    <t>MF-R050-2CT-ND</t>
  </si>
  <si>
    <t>https://www.digikey.com/en/products/detail/bourns-inc/MF-R050/259965</t>
  </si>
  <si>
    <t>OBD to DE-9 Cable</t>
  </si>
  <si>
    <t>1528-4841-ND</t>
  </si>
  <si>
    <t>https://www.digikey.com/en/products/detail/adafruit-industries-llc/4841/13901491?s=N4IgTCBcDaIIwFYwA4C0AWZ66oHIBEQBdAXyA</t>
  </si>
  <si>
    <t>DB9 to Terminal Block Adapter</t>
  </si>
  <si>
    <t>1528-4512-ND</t>
  </si>
  <si>
    <t>https://www.digikey.com/en/products/detail/adafruit-industries-llc/4512/12396898?s=N4IgTCBcDaIIwFYwA4C0AWBcyoHIBEQBdAXyA</t>
  </si>
  <si>
    <t>For Prototyping</t>
  </si>
  <si>
    <t>120 Ohm Resistor [NOTE: This is for bench testing only; if plugging into a car, this MUST be removed!]</t>
  </si>
  <si>
    <t>120QBK-ND</t>
  </si>
  <si>
    <t>https://www.digikey.com/en/products/detail/yageo/CFR-25JB-52-120R/389?s=N4IgTCBcDaIIxgAwEUBCBpAtAOQCIgF0BfIA</t>
  </si>
  <si>
    <t>18-pin DIP Socket for MCP2515</t>
  </si>
  <si>
    <t>2057-ICS-318-T-ND</t>
  </si>
  <si>
    <t>https://www.digikey.com/en/products/detail/adam-tech/ICS-318-T/9832865?s=N4IgTCBcDa4AwFYDsBaAkgYQMooMwEYAOFAFRQDkAREAXQF8g</t>
  </si>
  <si>
    <t>8-pin DIP Socket for MCP2562</t>
  </si>
  <si>
    <t>2057-ICS-308-T-ND</t>
  </si>
  <si>
    <t>https://www.digikey.com/en/products/detail/adam-tech/ICS-308-T/9829299?s=N4IgTCBcDa4AwFYDsBaAkgYQMooMxwA4UAVFAOQBEQBdAXyA</t>
  </si>
  <si>
    <t>20-pin Female Headers for Pico</t>
  </si>
  <si>
    <t>S7018-ND</t>
  </si>
  <si>
    <t>https://www.digikey.com/en/products/detail/sullins-connector-solutions/PPTC201LFBN-RC/810158</t>
  </si>
  <si>
    <t>Simulators</t>
  </si>
  <si>
    <t>Thanksbuyer Automotive ECU Simulator (no screen)</t>
  </si>
  <si>
    <t>Thanksbuyer</t>
  </si>
  <si>
    <t>(also available for a similar price on Ebay)</t>
  </si>
  <si>
    <t>https://www.thanksbuyer.com/products/automotive-ecu-simulator-obd-simulator-with-accessories-for-passenger-cars-elm327-development?pr_prod_strat=e5_desc&amp;pr_rec_id=f1c7be2e2&amp;pr_rec_pid=7078633439281&amp;pr_ref_pid=7078633340977&amp;pr_seq=uniform</t>
  </si>
  <si>
    <t>Thanksbuyer OBD II Simulator with Screen</t>
  </si>
  <si>
    <t>https://www.thanksbuyer.com/products/obd-ii-simulator-obd2-ecu-simulator-with-0-96-quot-128-64-oled-screen-supports-7-conventional-protocols?pr_prod_strat=e5_desc&amp;pr_rec_id=d34a203b4&amp;pr_rec_pid=7079158480945&amp;pr_ref_pid=7078633439281&amp;pr_seq=uniform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</si>
</sst>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434343"/>
      <name val="Roboto"/>
    </font>
    <font>
      <u/>
      <sz val="10"/>
      <color rgb="FF434343"/>
      <name val="Arial"/>
      <family val="2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2" fillId="0" borderId="0" xfId="0" applyFont="1"/>
    <xf numFmtId="49" fontId="3" fillId="0" borderId="0" xfId="0" applyNumberFormat="1" applyFont="1" applyAlignment="1">
      <alignment vertical="center" wrapText="1"/>
    </xf>
    <xf numFmtId="0" fontId="1" fillId="0" borderId="0" xfId="0" applyFont="1"/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0" fontId="1" fillId="2" borderId="0" xfId="0" applyFont="1" applyFill="1"/>
    <xf numFmtId="49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Time Tracker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Requirements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DOCUMENTS-style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Requirements-style 2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Task Tracker-style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BOM New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OM Old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ill_Of_Materials" displayName="Bill_Of_Materials" ref="A1:G36">
  <autoFilter ref="A1:G36" xr:uid="{00000000-0009-0000-0100-000006000000}"/>
  <tableColumns count="7">
    <tableColumn id="1" xr3:uid="{00000000-0010-0000-0500-000001000000}" name="Item name"/>
    <tableColumn id="2" xr3:uid="{00000000-0010-0000-0500-000002000000}" name="Quantity"/>
    <tableColumn id="3" xr3:uid="{00000000-0010-0000-0500-000003000000}" name="Price"/>
    <tableColumn id="4" xr3:uid="{00000000-0010-0000-0500-000004000000}" name="Status"/>
    <tableColumn id="5" xr3:uid="{00000000-0010-0000-0500-000005000000}" name="Supplier"/>
    <tableColumn id="6" xr3:uid="{00000000-0010-0000-0500-000006000000}" name="Part Number"/>
    <tableColumn id="7" xr3:uid="{00000000-0010-0000-0500-000007000000}" name="Notes"/>
  </tableColumns>
  <tableStyleInfo name="BOM N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46829D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CFR-25JB-52-10K/338?s=N4IgjCBcoEwAwA4CsVQGMoDMCGAbAzgKYA0IA9lANrhwAEA1gPIAWAtviALqkAOALlBABVAHYBLPo0wBZQtnwBXAE6EQAXzWkYVGgGkAigCFdAWgByAES5qgA" TargetMode="External"/><Relationship Id="rId13" Type="http://schemas.openxmlformats.org/officeDocument/2006/relationships/hyperlink" Target="https://www.digikey.com/en/products/detail/adafruit-industries-llc/4841/13901491?s=N4IgTCBcDaIIwFYwA4C0AWZ66oHIBEQBdAXyA" TargetMode="External"/><Relationship Id="rId18" Type="http://schemas.openxmlformats.org/officeDocument/2006/relationships/hyperlink" Target="https://www.digikey.com/en/products/detail/sullins-connector-solutions/PPTC201LFBN-RC/810158" TargetMode="External"/><Relationship Id="rId3" Type="http://schemas.openxmlformats.org/officeDocument/2006/relationships/hyperlink" Target="https://www.digikey.com/en/products/detail/microchip-technology/MCP2562-E-P/4079966?s=N4IgTCBcDaILIGEAKYCsA2MBaAogeiSwDkAREAXQF8g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digikey.com/en/products/detail/kemet/ESL107M050AGMAA/7427057" TargetMode="External"/><Relationship Id="rId12" Type="http://schemas.openxmlformats.org/officeDocument/2006/relationships/hyperlink" Target="https://www.digikey.com/en/products/detail/bourns-inc/MF-R050/259965" TargetMode="External"/><Relationship Id="rId17" Type="http://schemas.openxmlformats.org/officeDocument/2006/relationships/hyperlink" Target="https://www.digikey.com/en/products/detail/adam-tech/ICS-308-T/9829299?s=N4IgTCBcDa4AwFYDsBaAkgYQMooMxwA4UAVFAOQBEQBdAXyA" TargetMode="External"/><Relationship Id="rId2" Type="http://schemas.openxmlformats.org/officeDocument/2006/relationships/hyperlink" Target="https://www.digikey.com/en/products/detail/microchip-technology/MCP2515-I-P/593000?s=N4IgTCBcDaILIGEAKYCsBGVBaAkgeiSwDkAREAXQF8g" TargetMode="External"/><Relationship Id="rId16" Type="http://schemas.openxmlformats.org/officeDocument/2006/relationships/hyperlink" Target="https://www.digikey.com/en/products/detail/adam-tech/ICS-318-T/9832865?s=N4IgTCBcDa4AwFYDsBaAkgYQMooMwEYAOFAFRQDkAREAXQF8g" TargetMode="External"/><Relationship Id="rId20" Type="http://schemas.openxmlformats.org/officeDocument/2006/relationships/hyperlink" Target="https://www.thanksbuyer.com/products/obd-ii-simulator-obd2-ecu-simulator-with-0-96-quot-128-64-oled-screen-supports-7-conventional-protocols?pr_prod_strat=e5_desc&amp;pr_rec_id=d34a203b4&amp;pr_rec_pid=7079158480945&amp;pr_ref_pid=7078633439281&amp;pr_seq=uniform" TargetMode="External"/><Relationship Id="rId1" Type="http://schemas.openxmlformats.org/officeDocument/2006/relationships/hyperlink" Target="https://www.digikey.com/en/products/detail/raspberry-pi/SC1632/26241102" TargetMode="External"/><Relationship Id="rId6" Type="http://schemas.openxmlformats.org/officeDocument/2006/relationships/hyperlink" Target="https://www.digikey.com/en/products/detail/tdk/FA18X7R1H104KNU00/7384204" TargetMode="External"/><Relationship Id="rId11" Type="http://schemas.openxmlformats.org/officeDocument/2006/relationships/hyperlink" Target="https://www.digikey.com/en/products/detail/diotec-semiconductor/1-5KE20A/22193463?s=N4IgTCBcDaICwA4DsCC0BGAdAVgNIFEwAGAQQGEAVVAOQBEQBdAXyA" TargetMode="External"/><Relationship Id="rId5" Type="http://schemas.openxmlformats.org/officeDocument/2006/relationships/hyperlink" Target="https://www.digikey.com/en/products/detail/tdk/FA28C0G1H220JNU00/7384514" TargetMode="External"/><Relationship Id="rId15" Type="http://schemas.openxmlformats.org/officeDocument/2006/relationships/hyperlink" Target="https://www.digikey.com/en/products/detail/yageo/CFR-25JB-52-120R/389?s=N4IgTCBcDaIIxgAwEUBCBpAtAOQCIgF0BfIA" TargetMode="External"/><Relationship Id="rId10" Type="http://schemas.openxmlformats.org/officeDocument/2006/relationships/hyperlink" Target="https://www.digikey.com/en/products/detail/dcomponents/1N4007/27607983?utm_source=chatgpt.com" TargetMode="External"/><Relationship Id="rId19" Type="http://schemas.openxmlformats.org/officeDocument/2006/relationships/hyperlink" Target="https://www.thanksbuyer.com/products/automotive-ecu-simulator-obd-simulator-with-accessories-for-passenger-cars-elm327-development?pr_prod_strat=e5_desc&amp;pr_rec_id=f1c7be2e2&amp;pr_rec_pid=7078633439281&amp;pr_ref_pid=7078633340977&amp;pr_seq=uniform" TargetMode="External"/><Relationship Id="rId4" Type="http://schemas.openxmlformats.org/officeDocument/2006/relationships/hyperlink" Target="https://www.digikey.com/en/products/detail/yic/16M20P2-49US/15648595?s=N4IgTCBcDaIMwEYCsSC0CBsBZMAGACmAPQAsAnAKoDKqAcgCIgC6AvkA" TargetMode="External"/><Relationship Id="rId9" Type="http://schemas.openxmlformats.org/officeDocument/2006/relationships/hyperlink" Target="https://www.digikey.com/en/products/detail/murata-power-solutions-inc/OKI-78SR-5-1-5-W36-C/2259781?s=N4IgTCBcDaILIFcBOBDALigBAeQNIEkBaAdgA4BlAJUIFYB6ARgDobCB1AZgDZCBhEALoBfIA" TargetMode="External"/><Relationship Id="rId14" Type="http://schemas.openxmlformats.org/officeDocument/2006/relationships/hyperlink" Target="https://www.digikey.com/en/products/detail/adafruit-industries-llc/4512/12396898?s=N4IgTCBcDaIIwFYwA4C0AWBcyoHIBE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A36"/>
  <sheetViews>
    <sheetView tabSelected="1" workbookViewId="0"/>
  </sheetViews>
  <sheetFormatPr baseColWidth="10" defaultColWidth="12.6640625" defaultRowHeight="15.75" customHeight="1" x14ac:dyDescent="0.15"/>
  <cols>
    <col min="1" max="1" width="28.1640625" customWidth="1"/>
    <col min="2" max="5" width="15.1640625" customWidth="1"/>
    <col min="6" max="6" width="27.6640625" customWidth="1"/>
    <col min="7" max="7" width="46.1640625" customWidth="1"/>
    <col min="9" max="9" width="20.1640625" customWidth="1"/>
  </cols>
  <sheetData>
    <row r="1" spans="1:27" ht="22.5" customHeight="1" x14ac:dyDescent="0.15">
      <c r="A1" s="1" t="s">
        <v>2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0</v>
      </c>
      <c r="H1" s="6" t="s">
        <v>7</v>
      </c>
      <c r="I1" s="6"/>
    </row>
    <row r="2" spans="1:27" ht="22.5" customHeight="1" x14ac:dyDescent="0.15">
      <c r="A2" s="5" t="s">
        <v>8</v>
      </c>
      <c r="B2" s="2">
        <v>1</v>
      </c>
      <c r="C2" s="2">
        <v>6</v>
      </c>
      <c r="D2" s="2" t="s">
        <v>9</v>
      </c>
      <c r="E2" s="2" t="s">
        <v>10</v>
      </c>
      <c r="F2" s="4" t="s">
        <v>11</v>
      </c>
      <c r="G2" s="7" t="s">
        <v>12</v>
      </c>
      <c r="H2" s="8">
        <f t="shared" ref="H2:H20" si="0">(C2*B2)</f>
        <v>6</v>
      </c>
    </row>
    <row r="3" spans="1:27" ht="22.5" customHeight="1" x14ac:dyDescent="0.15">
      <c r="A3" s="5" t="s">
        <v>13</v>
      </c>
      <c r="B3" s="2">
        <v>1</v>
      </c>
      <c r="C3" s="2">
        <v>2.71</v>
      </c>
      <c r="D3" s="2" t="s">
        <v>14</v>
      </c>
      <c r="E3" s="2" t="s">
        <v>10</v>
      </c>
      <c r="F3" s="2" t="s">
        <v>15</v>
      </c>
      <c r="G3" s="9" t="s">
        <v>16</v>
      </c>
      <c r="H3" s="8">
        <f t="shared" si="0"/>
        <v>2.71</v>
      </c>
    </row>
    <row r="4" spans="1:27" ht="22.5" customHeight="1" x14ac:dyDescent="0.15">
      <c r="A4" s="5" t="s">
        <v>17</v>
      </c>
      <c r="B4" s="2">
        <v>1</v>
      </c>
      <c r="C4" s="2">
        <v>1.31</v>
      </c>
      <c r="D4" s="2" t="s">
        <v>14</v>
      </c>
      <c r="E4" s="2" t="s">
        <v>10</v>
      </c>
      <c r="F4" s="2" t="s">
        <v>18</v>
      </c>
      <c r="G4" s="9" t="s">
        <v>19</v>
      </c>
      <c r="H4" s="8">
        <f t="shared" si="0"/>
        <v>1.31</v>
      </c>
    </row>
    <row r="5" spans="1:27" ht="22.5" customHeight="1" x14ac:dyDescent="0.15">
      <c r="A5" s="5" t="s">
        <v>20</v>
      </c>
      <c r="B5" s="2">
        <v>1</v>
      </c>
      <c r="C5" s="2">
        <v>0.32</v>
      </c>
      <c r="D5" s="2" t="s">
        <v>14</v>
      </c>
      <c r="E5" s="2" t="s">
        <v>10</v>
      </c>
      <c r="F5" s="4" t="s">
        <v>21</v>
      </c>
      <c r="G5" s="10" t="s">
        <v>22</v>
      </c>
      <c r="H5" s="8">
        <f t="shared" si="0"/>
        <v>0.32</v>
      </c>
    </row>
    <row r="6" spans="1:27" ht="22.5" customHeight="1" x14ac:dyDescent="0.15">
      <c r="A6" s="5" t="s">
        <v>23</v>
      </c>
      <c r="B6" s="2">
        <v>2</v>
      </c>
      <c r="C6" s="2">
        <v>0.26</v>
      </c>
      <c r="D6" s="2" t="s">
        <v>9</v>
      </c>
      <c r="E6" s="2" t="s">
        <v>10</v>
      </c>
      <c r="F6" s="4" t="s">
        <v>24</v>
      </c>
      <c r="G6" s="11" t="s">
        <v>25</v>
      </c>
      <c r="H6" s="8">
        <f t="shared" si="0"/>
        <v>0.52</v>
      </c>
    </row>
    <row r="7" spans="1:27" ht="22.5" customHeight="1" x14ac:dyDescent="0.15">
      <c r="A7" s="5" t="s">
        <v>26</v>
      </c>
      <c r="B7" s="2">
        <v>3</v>
      </c>
      <c r="C7" s="2">
        <v>0.28000000000000003</v>
      </c>
      <c r="D7" s="2" t="s">
        <v>14</v>
      </c>
      <c r="E7" s="2" t="s">
        <v>10</v>
      </c>
      <c r="F7" s="4" t="s">
        <v>27</v>
      </c>
      <c r="G7" s="11" t="s">
        <v>28</v>
      </c>
      <c r="H7" s="8">
        <f t="shared" si="0"/>
        <v>0.84000000000000008</v>
      </c>
    </row>
    <row r="8" spans="1:27" ht="22.5" customHeight="1" x14ac:dyDescent="0.15">
      <c r="A8" s="5" t="s">
        <v>29</v>
      </c>
      <c r="B8" s="2">
        <v>1</v>
      </c>
      <c r="C8" s="2">
        <v>0.37</v>
      </c>
      <c r="D8" s="2" t="s">
        <v>14</v>
      </c>
      <c r="E8" s="2" t="s">
        <v>10</v>
      </c>
      <c r="F8" s="4" t="s">
        <v>30</v>
      </c>
      <c r="G8" s="7" t="s">
        <v>31</v>
      </c>
      <c r="H8" s="8">
        <f t="shared" si="0"/>
        <v>0.37</v>
      </c>
    </row>
    <row r="9" spans="1:27" ht="22.5" customHeight="1" x14ac:dyDescent="0.15">
      <c r="A9" s="5" t="s">
        <v>32</v>
      </c>
      <c r="B9" s="2">
        <v>2</v>
      </c>
      <c r="C9" s="2">
        <v>0.1</v>
      </c>
      <c r="D9" s="2" t="s">
        <v>9</v>
      </c>
      <c r="E9" s="2" t="s">
        <v>10</v>
      </c>
      <c r="F9" s="4" t="s">
        <v>33</v>
      </c>
      <c r="G9" s="12" t="s">
        <v>34</v>
      </c>
      <c r="H9" s="8">
        <f t="shared" si="0"/>
        <v>0.2</v>
      </c>
    </row>
    <row r="10" spans="1:27" ht="22.5" customHeight="1" x14ac:dyDescent="0.15">
      <c r="A10" s="5" t="s">
        <v>35</v>
      </c>
      <c r="B10" s="2">
        <v>1</v>
      </c>
      <c r="C10" s="2">
        <v>6</v>
      </c>
      <c r="D10" s="2" t="s">
        <v>14</v>
      </c>
      <c r="E10" s="2" t="s">
        <v>10</v>
      </c>
      <c r="F10" s="4" t="s">
        <v>36</v>
      </c>
      <c r="G10" s="7" t="s">
        <v>37</v>
      </c>
      <c r="H10" s="8">
        <f t="shared" si="0"/>
        <v>6</v>
      </c>
    </row>
    <row r="11" spans="1:27" ht="22.5" customHeight="1" x14ac:dyDescent="0.15">
      <c r="A11" s="5" t="s">
        <v>38</v>
      </c>
      <c r="B11" s="2">
        <v>1</v>
      </c>
      <c r="C11" s="2">
        <v>0.22</v>
      </c>
      <c r="D11" s="2" t="s">
        <v>14</v>
      </c>
      <c r="E11" s="2" t="s">
        <v>10</v>
      </c>
      <c r="F11" s="4" t="s">
        <v>39</v>
      </c>
      <c r="G11" s="7" t="s">
        <v>40</v>
      </c>
      <c r="H11" s="8">
        <f t="shared" si="0"/>
        <v>0.22</v>
      </c>
    </row>
    <row r="12" spans="1:27" ht="22.5" customHeight="1" x14ac:dyDescent="0.15">
      <c r="A12" s="5" t="s">
        <v>41</v>
      </c>
      <c r="B12" s="2">
        <v>1</v>
      </c>
      <c r="C12" s="2">
        <v>0.9</v>
      </c>
      <c r="D12" s="2" t="s">
        <v>14</v>
      </c>
      <c r="E12" s="2" t="s">
        <v>10</v>
      </c>
      <c r="F12" s="4" t="s">
        <v>42</v>
      </c>
      <c r="G12" s="9" t="s">
        <v>43</v>
      </c>
      <c r="H12" s="8">
        <f t="shared" si="0"/>
        <v>0.9</v>
      </c>
    </row>
    <row r="13" spans="1:27" ht="22.5" customHeight="1" x14ac:dyDescent="0.15">
      <c r="A13" s="5" t="s">
        <v>44</v>
      </c>
      <c r="B13" s="2">
        <v>1</v>
      </c>
      <c r="C13" s="2">
        <v>0.47</v>
      </c>
      <c r="D13" s="2" t="s">
        <v>14</v>
      </c>
      <c r="E13" s="2" t="s">
        <v>10</v>
      </c>
      <c r="F13" s="4" t="s">
        <v>45</v>
      </c>
      <c r="G13" s="7" t="s">
        <v>46</v>
      </c>
      <c r="H13" s="8">
        <f t="shared" si="0"/>
        <v>0.47</v>
      </c>
    </row>
    <row r="14" spans="1:27" ht="22.5" customHeight="1" x14ac:dyDescent="0.15">
      <c r="A14" s="5" t="s">
        <v>47</v>
      </c>
      <c r="B14" s="2">
        <v>1</v>
      </c>
      <c r="C14" s="2">
        <v>5.95</v>
      </c>
      <c r="D14" s="2" t="s">
        <v>14</v>
      </c>
      <c r="E14" s="2" t="s">
        <v>10</v>
      </c>
      <c r="F14" s="4" t="s">
        <v>48</v>
      </c>
      <c r="G14" s="7" t="s">
        <v>49</v>
      </c>
      <c r="H14" s="8">
        <f t="shared" si="0"/>
        <v>5.95</v>
      </c>
    </row>
    <row r="15" spans="1:27" ht="22.5" customHeight="1" x14ac:dyDescent="0.15">
      <c r="A15" s="5" t="s">
        <v>50</v>
      </c>
      <c r="B15" s="2">
        <v>1</v>
      </c>
      <c r="C15" s="2">
        <v>6.25</v>
      </c>
      <c r="D15" s="2" t="s">
        <v>14</v>
      </c>
      <c r="E15" s="2" t="s">
        <v>10</v>
      </c>
      <c r="F15" s="4" t="s">
        <v>51</v>
      </c>
      <c r="G15" s="10" t="s">
        <v>52</v>
      </c>
      <c r="H15" s="8">
        <f t="shared" si="0"/>
        <v>6.25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22.5" customHeight="1" x14ac:dyDescent="0.15">
      <c r="A16" s="14" t="s">
        <v>53</v>
      </c>
      <c r="B16" s="15"/>
      <c r="C16" s="15"/>
      <c r="D16" s="15"/>
      <c r="E16" s="15"/>
      <c r="F16" s="16"/>
      <c r="G16" s="14"/>
      <c r="H16" s="8">
        <f t="shared" si="0"/>
        <v>0</v>
      </c>
    </row>
    <row r="17" spans="1:8" ht="22.5" customHeight="1" x14ac:dyDescent="0.15">
      <c r="A17" s="5" t="s">
        <v>54</v>
      </c>
      <c r="B17" s="2">
        <v>1</v>
      </c>
      <c r="C17" s="2">
        <v>0.1</v>
      </c>
      <c r="D17" s="2" t="s">
        <v>9</v>
      </c>
      <c r="E17" s="2" t="s">
        <v>10</v>
      </c>
      <c r="F17" s="4" t="s">
        <v>55</v>
      </c>
      <c r="G17" s="7" t="s">
        <v>56</v>
      </c>
      <c r="H17" s="8">
        <f t="shared" si="0"/>
        <v>0.1</v>
      </c>
    </row>
    <row r="18" spans="1:8" ht="22.5" customHeight="1" x14ac:dyDescent="0.15">
      <c r="A18" s="5" t="s">
        <v>57</v>
      </c>
      <c r="B18" s="2">
        <v>1</v>
      </c>
      <c r="C18" s="2">
        <v>0.98</v>
      </c>
      <c r="D18" s="2" t="s">
        <v>14</v>
      </c>
      <c r="E18" s="2" t="s">
        <v>10</v>
      </c>
      <c r="F18" s="4" t="s">
        <v>58</v>
      </c>
      <c r="G18" s="10" t="s">
        <v>59</v>
      </c>
      <c r="H18" s="8">
        <f t="shared" si="0"/>
        <v>0.98</v>
      </c>
    </row>
    <row r="19" spans="1:8" ht="22.5" customHeight="1" x14ac:dyDescent="0.15">
      <c r="A19" s="5" t="s">
        <v>60</v>
      </c>
      <c r="B19" s="2">
        <v>1</v>
      </c>
      <c r="C19" s="2">
        <v>0.69</v>
      </c>
      <c r="D19" s="2" t="s">
        <v>14</v>
      </c>
      <c r="E19" s="2" t="s">
        <v>10</v>
      </c>
      <c r="F19" s="4" t="s">
        <v>61</v>
      </c>
      <c r="G19" s="10" t="s">
        <v>62</v>
      </c>
      <c r="H19" s="8">
        <f t="shared" si="0"/>
        <v>0.69</v>
      </c>
    </row>
    <row r="20" spans="1:8" ht="22.5" customHeight="1" x14ac:dyDescent="0.15">
      <c r="A20" s="5" t="s">
        <v>63</v>
      </c>
      <c r="B20" s="2">
        <v>2</v>
      </c>
      <c r="C20" s="2">
        <v>1.1499999999999999</v>
      </c>
      <c r="D20" s="2" t="s">
        <v>9</v>
      </c>
      <c r="E20" s="2" t="s">
        <v>10</v>
      </c>
      <c r="F20" s="4" t="s">
        <v>64</v>
      </c>
      <c r="G20" s="7" t="s">
        <v>65</v>
      </c>
      <c r="H20" s="8">
        <f t="shared" si="0"/>
        <v>2.2999999999999998</v>
      </c>
    </row>
    <row r="21" spans="1:8" ht="22.5" customHeight="1" x14ac:dyDescent="0.15">
      <c r="A21" s="14" t="s">
        <v>66</v>
      </c>
      <c r="B21" s="15"/>
      <c r="C21" s="15"/>
      <c r="D21" s="15"/>
      <c r="E21" s="15"/>
      <c r="F21" s="16"/>
      <c r="G21" s="14"/>
      <c r="H21" s="17">
        <f>SUM(H2:H20)</f>
        <v>36.129999999999988</v>
      </c>
    </row>
    <row r="22" spans="1:8" ht="22.5" customHeight="1" x14ac:dyDescent="0.15">
      <c r="A22" s="5" t="s">
        <v>67</v>
      </c>
      <c r="B22" s="3"/>
      <c r="C22" s="3">
        <v>40.06</v>
      </c>
      <c r="D22" s="3"/>
      <c r="E22" s="3" t="s">
        <v>68</v>
      </c>
      <c r="F22" s="5" t="s">
        <v>69</v>
      </c>
      <c r="G22" s="7" t="s">
        <v>70</v>
      </c>
    </row>
    <row r="23" spans="1:8" ht="22.5" customHeight="1" x14ac:dyDescent="0.15">
      <c r="A23" s="5" t="s">
        <v>71</v>
      </c>
      <c r="B23" s="3"/>
      <c r="C23" s="3">
        <v>59</v>
      </c>
      <c r="D23" s="3"/>
      <c r="E23" s="3" t="s">
        <v>68</v>
      </c>
      <c r="F23" s="5" t="s">
        <v>69</v>
      </c>
      <c r="G23" s="10" t="s">
        <v>72</v>
      </c>
    </row>
    <row r="24" spans="1:8" ht="22.5" customHeight="1" x14ac:dyDescent="0.15">
      <c r="A24" s="5"/>
      <c r="B24" s="3"/>
      <c r="C24" s="3"/>
      <c r="D24" s="3"/>
      <c r="E24" s="3"/>
      <c r="F24" s="5"/>
      <c r="G24" s="5"/>
    </row>
    <row r="25" spans="1:8" ht="22.5" customHeight="1" x14ac:dyDescent="0.15">
      <c r="A25" s="5"/>
      <c r="B25" s="3"/>
      <c r="C25" s="3"/>
      <c r="D25" s="3"/>
      <c r="E25" s="3"/>
      <c r="F25" s="5"/>
      <c r="G25" s="5"/>
    </row>
    <row r="26" spans="1:8" ht="22.5" customHeight="1" x14ac:dyDescent="0.15">
      <c r="A26" s="5"/>
      <c r="B26" s="3"/>
      <c r="C26" s="3"/>
      <c r="D26" s="3"/>
      <c r="E26" s="3"/>
      <c r="F26" s="5"/>
      <c r="G26" s="5"/>
    </row>
    <row r="27" spans="1:8" ht="22.5" customHeight="1" x14ac:dyDescent="0.15">
      <c r="A27" s="5"/>
      <c r="B27" s="3"/>
      <c r="C27" s="3"/>
      <c r="D27" s="3"/>
      <c r="E27" s="3"/>
      <c r="F27" s="5"/>
      <c r="G27" s="5"/>
    </row>
    <row r="28" spans="1:8" ht="22.5" customHeight="1" x14ac:dyDescent="0.15">
      <c r="A28" s="5"/>
      <c r="B28" s="3"/>
      <c r="C28" s="3"/>
      <c r="D28" s="3"/>
      <c r="E28" s="3"/>
      <c r="F28" s="5"/>
      <c r="G28" s="5"/>
    </row>
    <row r="29" spans="1:8" ht="22.5" customHeight="1" x14ac:dyDescent="0.15">
      <c r="A29" s="5"/>
      <c r="B29" s="3"/>
      <c r="C29" s="3"/>
      <c r="D29" s="3"/>
      <c r="E29" s="3"/>
      <c r="F29" s="5"/>
      <c r="G29" s="5"/>
    </row>
    <row r="30" spans="1:8" ht="22.5" customHeight="1" x14ac:dyDescent="0.15">
      <c r="A30" s="5"/>
      <c r="B30" s="3"/>
      <c r="C30" s="3"/>
      <c r="D30" s="3"/>
      <c r="E30" s="3"/>
      <c r="F30" s="5"/>
      <c r="G30" s="5"/>
    </row>
    <row r="31" spans="1:8" ht="22.5" customHeight="1" x14ac:dyDescent="0.15">
      <c r="A31" s="5"/>
      <c r="B31" s="3"/>
      <c r="C31" s="3"/>
      <c r="D31" s="3"/>
      <c r="E31" s="3"/>
      <c r="F31" s="5"/>
      <c r="G31" s="5"/>
    </row>
    <row r="32" spans="1:8" ht="22.5" customHeight="1" x14ac:dyDescent="0.15">
      <c r="A32" s="5"/>
      <c r="B32" s="3"/>
      <c r="C32" s="3"/>
      <c r="D32" s="3"/>
      <c r="E32" s="3"/>
      <c r="F32" s="5"/>
      <c r="G32" s="5"/>
    </row>
    <row r="33" spans="1:7" ht="22.5" customHeight="1" x14ac:dyDescent="0.15">
      <c r="A33" s="5"/>
      <c r="B33" s="3"/>
      <c r="C33" s="3"/>
      <c r="D33" s="3"/>
      <c r="E33" s="3"/>
      <c r="F33" s="5"/>
      <c r="G33" s="5"/>
    </row>
    <row r="34" spans="1:7" ht="22.5" customHeight="1" x14ac:dyDescent="0.15">
      <c r="A34" s="5"/>
      <c r="B34" s="2"/>
      <c r="C34" s="2"/>
      <c r="D34" s="2"/>
      <c r="E34" s="2"/>
      <c r="F34" s="4"/>
      <c r="G34" s="5"/>
    </row>
    <row r="35" spans="1:7" ht="22.5" customHeight="1" x14ac:dyDescent="0.15">
      <c r="A35" s="5"/>
      <c r="B35" s="2"/>
      <c r="C35" s="2"/>
      <c r="D35" s="2"/>
      <c r="E35" s="2"/>
      <c r="F35" s="4"/>
      <c r="G35" s="5"/>
    </row>
    <row r="36" spans="1:7" ht="22.5" customHeight="1" x14ac:dyDescent="0.15">
      <c r="A36" s="5"/>
      <c r="B36" s="2"/>
      <c r="C36" s="2"/>
      <c r="D36" s="2"/>
      <c r="E36" s="2"/>
      <c r="F36" s="4"/>
      <c r="G36" s="5"/>
    </row>
  </sheetData>
  <dataValidations count="3">
    <dataValidation type="list" allowBlank="1" sqref="D2:D36" xr:uid="{00000000-0002-0000-0500-000000000000}">
      <formula1>"Own,Ordered,Re-purchase needed,need to order"</formula1>
    </dataValidation>
    <dataValidation type="custom" allowBlank="1" showDropDown="1" sqref="B2:C36" xr:uid="{00000000-0002-0000-0500-000001000000}">
      <formula1>AND(ISNUMBER(B2),(NOT(OR(NOT(ISERROR(DATEVALUE(B2))), AND(ISNUMBER(B2), LEFT(CELL("format", B2))="D")))))</formula1>
    </dataValidation>
    <dataValidation allowBlank="1" showDropDown="1" sqref="A2:A36 F2:G36" xr:uid="{00000000-0002-0000-0500-000002000000}"/>
  </dataValidations>
  <hyperlinks>
    <hyperlink ref="G2" r:id="rId1" xr:uid="{00000000-0004-0000-0500-000000000000}"/>
    <hyperlink ref="G3" r:id="rId2" xr:uid="{00000000-0004-0000-0500-000001000000}"/>
    <hyperlink ref="G4" r:id="rId3" xr:uid="{00000000-0004-0000-0500-000002000000}"/>
    <hyperlink ref="G5" r:id="rId4" xr:uid="{00000000-0004-0000-0500-000003000000}"/>
    <hyperlink ref="G6" r:id="rId5" xr:uid="{00000000-0004-0000-0500-000004000000}"/>
    <hyperlink ref="G7" r:id="rId6" xr:uid="{00000000-0004-0000-0500-000005000000}"/>
    <hyperlink ref="G8" r:id="rId7" xr:uid="{00000000-0004-0000-0500-000006000000}"/>
    <hyperlink ref="G9" r:id="rId8" xr:uid="{00000000-0004-0000-0500-000007000000}"/>
    <hyperlink ref="G10" r:id="rId9" xr:uid="{00000000-0004-0000-0500-000008000000}"/>
    <hyperlink ref="G11" r:id="rId10" xr:uid="{00000000-0004-0000-0500-000009000000}"/>
    <hyperlink ref="G12" r:id="rId11" xr:uid="{00000000-0004-0000-0500-00000A000000}"/>
    <hyperlink ref="G13" r:id="rId12" xr:uid="{00000000-0004-0000-0500-00000B000000}"/>
    <hyperlink ref="G14" r:id="rId13" xr:uid="{00000000-0004-0000-0500-00000C000000}"/>
    <hyperlink ref="G15" r:id="rId14" xr:uid="{00000000-0004-0000-0500-00000D000000}"/>
    <hyperlink ref="G17" r:id="rId15" xr:uid="{00000000-0004-0000-0500-00000E000000}"/>
    <hyperlink ref="G18" r:id="rId16" xr:uid="{00000000-0004-0000-0500-00000F000000}"/>
    <hyperlink ref="G19" r:id="rId17" xr:uid="{00000000-0004-0000-0500-000010000000}"/>
    <hyperlink ref="G20" r:id="rId18" xr:uid="{00000000-0004-0000-0500-000011000000}"/>
    <hyperlink ref="G22" r:id="rId19" xr:uid="{00000000-0004-0000-0500-000012000000}"/>
    <hyperlink ref="G23" r:id="rId20" xr:uid="{00000000-0004-0000-0500-000013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Milner</cp:lastModifiedBy>
  <dcterms:created xsi:type="dcterms:W3CDTF">2026-10-28T02:23:04Z</dcterms:created>
  <dcterms:modified xsi:type="dcterms:W3CDTF">2026-10-28T02:23:04Z</dcterms:modified>
</cp:coreProperties>
</file>